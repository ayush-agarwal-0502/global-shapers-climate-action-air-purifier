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yush\Ayush_data\old_laptop_dump\old_desktop\Desktop\global shapers\"/>
    </mc:Choice>
  </mc:AlternateContent>
  <xr:revisionPtr revIDLastSave="0" documentId="13_ncr:1_{F4EC86D7-5A41-44B8-BE6F-F7B9F0A60E18}" xr6:coauthVersionLast="47" xr6:coauthVersionMax="47" xr10:uidLastSave="{00000000-0000-0000-0000-000000000000}"/>
  <bookViews>
    <workbookView xWindow="-110" yWindow="-110" windowWidth="19420" windowHeight="10300" activeTab="1" xr2:uid="{00000000-000D-0000-FFFF-FFFF00000000}"/>
  </bookViews>
  <sheets>
    <sheet name="parts_procurement_sourcing" sheetId="2" r:id="rId1"/>
    <sheet name="PCBA_manufacturing_cost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G4" i="1" s="1"/>
  <c r="F5" i="1"/>
  <c r="G5" i="1" s="1"/>
  <c r="F6" i="1"/>
  <c r="G6" i="1" s="1"/>
  <c r="F3" i="1"/>
  <c r="G3" i="1" s="1"/>
</calcChain>
</file>

<file path=xl/sharedStrings.xml><?xml version="1.0" encoding="utf-8"?>
<sst xmlns="http://schemas.openxmlformats.org/spreadsheetml/2006/main" count="35" uniqueCount="34">
  <si>
    <t xml:space="preserve">Fabrication </t>
  </si>
  <si>
    <t>OQ (Order Quantity)</t>
  </si>
  <si>
    <t xml:space="preserve">Assembly </t>
  </si>
  <si>
    <t>Procurement</t>
  </si>
  <si>
    <t>GST</t>
  </si>
  <si>
    <t>Fab/Chip</t>
  </si>
  <si>
    <t>Assembly/Chip</t>
  </si>
  <si>
    <t>Price per board</t>
  </si>
  <si>
    <t xml:space="preserve">Lion Circuits  </t>
  </si>
  <si>
    <t>Lion Circuits</t>
  </si>
  <si>
    <t xml:space="preserve">pcb power - </t>
  </si>
  <si>
    <t>site was forcing me to make pick place file, so I left it</t>
  </si>
  <si>
    <t xml:space="preserve">Robu - </t>
  </si>
  <si>
    <t>there was a preview box, which was not showing anything, idk y , and also im not sure if they do full assembly or not, didn’t see any option</t>
  </si>
  <si>
    <t xml:space="preserve">PCBWay - </t>
  </si>
  <si>
    <t xml:space="preserve">Chinese company we have to avoid to avoid paying border tax </t>
  </si>
  <si>
    <t xml:space="preserve">25-30 dollars only for shipping </t>
  </si>
  <si>
    <t xml:space="preserve">Mefron - </t>
  </si>
  <si>
    <t>Did not have anything on their website to check price, straight up a form to collect my data like phone number, old sales style website</t>
  </si>
  <si>
    <t xml:space="preserve">PCB Scientist - </t>
  </si>
  <si>
    <t xml:space="preserve">Its in Gugraon, but even on their website they have only given a phone number and mail, so I don’t think they are much in business </t>
  </si>
  <si>
    <t>Had received call from the salesperson, did discussion on gerber file, mpn etc, finally got quote 2000 per pcb which was very high :(</t>
  </si>
  <si>
    <t xml:space="preserve">that’s 3k bucks extra, lion pe delivery free thi, plus this is excluding customs tax </t>
  </si>
  <si>
    <t xml:space="preserve">Air sensor - </t>
  </si>
  <si>
    <t>Zph02 Dust Sensor,Pm2.5 Sensor Module For Household Air Purifiers,Laser Dust Sensor - Buy Zph02 Dust Sensor Pm2.5 Sensor Module For Household Air Purifiers Laser Dust Sensor Product on Alibaba.com</t>
  </si>
  <si>
    <t>Buy ESP WROOM 32 MCU Module Online at Best Price In India | Robu.in | Robu.in</t>
  </si>
  <si>
    <t>ESP32 NodeMCU</t>
  </si>
  <si>
    <t xml:space="preserve">Gaming Fan </t>
  </si>
  <si>
    <t>[Was used by Arjun, hence considered reliable]</t>
  </si>
  <si>
    <t xml:space="preserve">ESP32 NodeMCU is the most widely availaible chip, can buy any of it as long as it has 19 pins each side, and the pin config matches the one Ive drawn on PCB </t>
  </si>
  <si>
    <t>[Robu also does B2B partnerships, and has been a reliable supplier for robotics club in my college, hence I trust that it will be able to supply when we reach bulk production stage]</t>
  </si>
  <si>
    <t>[Will be added by Aditi, has been sourced by her already ]</t>
  </si>
  <si>
    <t>Justification</t>
  </si>
  <si>
    <t>Result of all analysis = found Lion Circuits to be the most economical and reliable for our needs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</si>
</sst>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robu.in/product/esp-wroom-32-esp32-wifi-bt-ble-mcu-module/" TargetMode="External"/><Relationship Id="rId1" Type="http://schemas.openxmlformats.org/officeDocument/2006/relationships/hyperlink" Target="https://www.alibaba.com/product-detail/ZPH02-Dust-Sensor-PM2-5-Sensor_1601521252134.html?spm=a2700.prosearch.normal_offer.d_title.26de67afkuqoKV&amp;selectedCarrierCode=SEMI_MANAGED_STANDARD%40%40STANDARD&amp;priceId=e66cc0bf70fe45ee96e36692c4e4b9b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rder.lioncircuits.com/projectdetails/219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4088-CBA0-435A-9685-0E5CFD29E611}">
  <dimension ref="B1:D5"/>
  <sheetViews>
    <sheetView workbookViewId="0">
      <selection activeCell="B5" sqref="B5"/>
    </sheetView>
  </sheetViews>
  <sheetFormatPr defaultRowHeight="14.5" x14ac:dyDescent="0.35"/>
  <cols>
    <col min="2" max="2" width="14.81640625" bestFit="1" customWidth="1"/>
    <col min="3" max="3" width="174.08984375" bestFit="1" customWidth="1"/>
    <col min="4" max="4" width="151.08984375" bestFit="1" customWidth="1"/>
  </cols>
  <sheetData>
    <row r="1" spans="2:4" x14ac:dyDescent="0.35">
      <c r="D1" t="s">
        <v>32</v>
      </c>
    </row>
    <row r="2" spans="2:4" x14ac:dyDescent="0.35">
      <c r="B2" t="s">
        <v>23</v>
      </c>
      <c r="C2" s="1" t="s">
        <v>24</v>
      </c>
      <c r="D2" t="s">
        <v>28</v>
      </c>
    </row>
    <row r="3" spans="2:4" x14ac:dyDescent="0.35">
      <c r="B3" t="s">
        <v>26</v>
      </c>
      <c r="C3" s="1" t="s">
        <v>25</v>
      </c>
      <c r="D3" t="s">
        <v>30</v>
      </c>
    </row>
    <row r="4" spans="2:4" x14ac:dyDescent="0.35">
      <c r="C4" t="s">
        <v>29</v>
      </c>
    </row>
    <row r="5" spans="2:4" x14ac:dyDescent="0.35">
      <c r="B5" t="s">
        <v>27</v>
      </c>
      <c r="C5" t="s">
        <v>31</v>
      </c>
    </row>
  </sheetData>
  <hyperlinks>
    <hyperlink ref="C2" r:id="rId1" display="https://www.alibaba.com/product-detail/ZPH02-Dust-Sensor-PM2-5-Sensor_1601521252134.html?spm=a2700.prosearch.normal_offer.d_title.26de67afkuqoKV&amp;selectedCarrierCode=SEMI_MANAGED_STANDARD%40%40STANDARD&amp;priceId=e66cc0bf70fe45ee96e36692c4e4b9b9" xr:uid="{99C33C66-5685-4D4E-8E3C-33F65D44D1CC}"/>
    <hyperlink ref="C3" r:id="rId2" display="https://robu.in/product/esp-wroom-32-esp32-wifi-bt-ble-mcu-module/" xr:uid="{40F4719E-1B2E-4582-A81C-3D24217796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topLeftCell="A13" workbookViewId="0">
      <selection activeCell="B24" sqref="B24"/>
    </sheetView>
  </sheetViews>
  <sheetFormatPr defaultRowHeight="14.5" x14ac:dyDescent="0.35"/>
  <cols>
    <col min="1" max="1" width="17.54296875" bestFit="1" customWidth="1"/>
    <col min="2" max="2" width="12.36328125" customWidth="1"/>
    <col min="3" max="3" width="9" bestFit="1" customWidth="1"/>
    <col min="4" max="4" width="11.54296875" bestFit="1" customWidth="1"/>
    <col min="5" max="5" width="9" bestFit="1" customWidth="1"/>
    <col min="7" max="7" width="19.1796875" customWidth="1"/>
    <col min="9" max="9" width="12.90625" bestFit="1" customWidth="1"/>
  </cols>
  <sheetData>
    <row r="1" spans="1:11" x14ac:dyDescent="0.35">
      <c r="B1" t="s">
        <v>8</v>
      </c>
      <c r="C1" s="1" t="s">
        <v>9</v>
      </c>
    </row>
    <row r="2" spans="1:11" x14ac:dyDescent="0.35">
      <c r="A2" t="s">
        <v>1</v>
      </c>
      <c r="B2" t="s">
        <v>0</v>
      </c>
      <c r="C2" t="s">
        <v>2</v>
      </c>
      <c r="D2" t="s">
        <v>3</v>
      </c>
      <c r="E2" t="s">
        <v>4</v>
      </c>
      <c r="G2" t="s">
        <v>7</v>
      </c>
      <c r="I2" t="s">
        <v>5</v>
      </c>
      <c r="J2" t="s">
        <v>6</v>
      </c>
    </row>
    <row r="3" spans="1:11" x14ac:dyDescent="0.35">
      <c r="A3">
        <v>5</v>
      </c>
      <c r="B3">
        <v>1079</v>
      </c>
      <c r="C3">
        <v>1500</v>
      </c>
      <c r="D3">
        <v>2578.2600000000002</v>
      </c>
      <c r="E3">
        <v>604</v>
      </c>
      <c r="F3">
        <f>SUM(B3:E3)</f>
        <v>5761.26</v>
      </c>
      <c r="G3">
        <f>F3/A3</f>
        <v>1152.252</v>
      </c>
      <c r="I3">
        <v>215</v>
      </c>
      <c r="J3">
        <v>1500</v>
      </c>
    </row>
    <row r="4" spans="1:11" x14ac:dyDescent="0.35">
      <c r="A4">
        <v>25</v>
      </c>
      <c r="B4">
        <v>3191</v>
      </c>
      <c r="C4">
        <v>3434</v>
      </c>
      <c r="D4">
        <v>11092</v>
      </c>
      <c r="E4">
        <v>3189</v>
      </c>
      <c r="F4">
        <f t="shared" ref="F4:F6" si="0">SUM(B4:E4)</f>
        <v>20906</v>
      </c>
      <c r="G4">
        <f t="shared" ref="G4:G6" si="1">F4/A4</f>
        <v>836.24</v>
      </c>
      <c r="I4">
        <v>127</v>
      </c>
    </row>
    <row r="5" spans="1:11" x14ac:dyDescent="0.35">
      <c r="A5">
        <v>50</v>
      </c>
      <c r="B5">
        <v>5832</v>
      </c>
      <c r="C5">
        <v>5918</v>
      </c>
      <c r="D5">
        <v>21243</v>
      </c>
      <c r="E5">
        <v>5939</v>
      </c>
      <c r="F5">
        <f t="shared" si="0"/>
        <v>38932</v>
      </c>
      <c r="G5">
        <f t="shared" si="1"/>
        <v>778.64</v>
      </c>
    </row>
    <row r="6" spans="1:11" x14ac:dyDescent="0.35">
      <c r="A6">
        <v>100</v>
      </c>
      <c r="B6">
        <v>9636</v>
      </c>
      <c r="C6">
        <v>9705</v>
      </c>
      <c r="D6">
        <v>39751</v>
      </c>
      <c r="E6">
        <v>10637</v>
      </c>
      <c r="F6">
        <f t="shared" si="0"/>
        <v>69729</v>
      </c>
      <c r="G6">
        <f t="shared" si="1"/>
        <v>697.29</v>
      </c>
    </row>
    <row r="8" spans="1:11" x14ac:dyDescent="0.35">
      <c r="B8" s="2" t="s">
        <v>33</v>
      </c>
    </row>
    <row r="10" spans="1:11" x14ac:dyDescent="0.35">
      <c r="B10" t="s">
        <v>10</v>
      </c>
      <c r="C10" t="s">
        <v>11</v>
      </c>
    </row>
    <row r="11" spans="1:11" x14ac:dyDescent="0.35">
      <c r="B11" t="s">
        <v>10</v>
      </c>
      <c r="C11" t="s">
        <v>21</v>
      </c>
    </row>
    <row r="13" spans="1:11" x14ac:dyDescent="0.35">
      <c r="B13" t="s">
        <v>12</v>
      </c>
      <c r="C13" t="s">
        <v>13</v>
      </c>
    </row>
    <row r="15" spans="1:11" x14ac:dyDescent="0.35">
      <c r="B15" t="s">
        <v>14</v>
      </c>
      <c r="C15" t="s">
        <v>15</v>
      </c>
      <c r="H15" t="s">
        <v>16</v>
      </c>
      <c r="K15" t="s">
        <v>22</v>
      </c>
    </row>
    <row r="17" spans="2:3" x14ac:dyDescent="0.35">
      <c r="B17" t="s">
        <v>17</v>
      </c>
      <c r="C17" t="s">
        <v>18</v>
      </c>
    </row>
    <row r="19" spans="2:3" x14ac:dyDescent="0.35">
      <c r="B19" t="s">
        <v>19</v>
      </c>
      <c r="C19" t="s">
        <v>20</v>
      </c>
    </row>
  </sheetData>
  <hyperlinks>
    <hyperlink ref="C1" r:id="rId1" display="https://order.lioncircuits.com/projectdetails/219942" xr:uid="{5EDF2DB2-C12D-422A-B244-26D53BE46B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parts_procurement_sourcing</vt:lpstr>
      <vt:lpstr>PCBA_manufacturing_costs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Agarwal</dc:creator>
  <cp:lastModifiedBy>Ayush Agarwal</cp:lastModifiedBy>
  <dcterms:created xsi:type="dcterms:W3CDTF">2015-06-05T18:17:20Z</dcterms:created>
  <dcterms:modified xsi:type="dcterms:W3CDTF">2026-06-04T16:28:44Z</dcterms:modified>
</cp:coreProperties>
</file>